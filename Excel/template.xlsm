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064" yWindow="-156" windowWidth="13488" windowHeight="9516" firstSheet="4" activeTab="4"/>
  </bookViews>
  <sheets>
    <sheet name="YH" sheetId="6" state="hidden" r:id="rId1"/>
    <sheet name="ZHCG" sheetId="28" state="hidden" r:id="rId2"/>
    <sheet name="YHCG" sheetId="9" state="hidden" r:id="rId3"/>
    <sheet name="YXY" sheetId="7" state="hidden" r:id="rId4"/>
    <sheet name="Sheet1" sheetId="29" r:id="rId5"/>
  </sheets>
  <functionGroups/>
  <calcPr calcId="124519"/>
</workbook>
</file>

<file path=xl/calcChain.xml><?xml version="1.0" encoding="utf-8"?>
<calcChain xmlns="http://schemas.openxmlformats.org/spreadsheetml/2006/main">
  <c r="K4" i="7"/>
  <c r="K5"/>
  <c r="K6"/>
  <c r="K7"/>
  <c r="K8"/>
  <c r="K9"/>
  <c r="K10"/>
  <c r="K11"/>
  <c r="K3"/>
</calcChain>
</file>

<file path=xl/sharedStrings.xml><?xml version="1.0" encoding="utf-8"?>
<sst xmlns="http://schemas.openxmlformats.org/spreadsheetml/2006/main" count="34" uniqueCount="26">
  <si>
    <t>边坡点里程
L</t>
    <phoneticPr fontId="1" type="noConversion"/>
  </si>
  <si>
    <t>边坡点高程
H</t>
    <phoneticPr fontId="1" type="noConversion"/>
  </si>
  <si>
    <t>边坡点曲线半径
R</t>
    <phoneticPr fontId="1" type="noConversion"/>
  </si>
  <si>
    <t>边坡点曲线切线长
T</t>
    <phoneticPr fontId="1" type="noConversion"/>
  </si>
  <si>
    <t>边坡点后坡度
L</t>
    <phoneticPr fontId="1" type="noConversion"/>
  </si>
  <si>
    <t>直线</t>
  </si>
  <si>
    <t>正向缓和曲线</t>
  </si>
  <si>
    <t>圆曲线</t>
  </si>
  <si>
    <t>线元里程
L</t>
    <phoneticPr fontId="1" type="noConversion"/>
  </si>
  <si>
    <t>线元起点坐标
X</t>
    <phoneticPr fontId="1" type="noConversion"/>
  </si>
  <si>
    <t>线元起点坐标
Y</t>
    <phoneticPr fontId="1" type="noConversion"/>
  </si>
  <si>
    <t>线元类型</t>
    <phoneticPr fontId="1" type="noConversion"/>
  </si>
  <si>
    <t>线元起点方位角
d</t>
    <phoneticPr fontId="1" type="noConversion"/>
  </si>
  <si>
    <t>线元起点方位角
m</t>
    <phoneticPr fontId="1" type="noConversion"/>
  </si>
  <si>
    <t>线元起点方位角
s</t>
    <phoneticPr fontId="1" type="noConversion"/>
  </si>
  <si>
    <t>线元起点半径
r1</t>
    <phoneticPr fontId="1" type="noConversion"/>
  </si>
  <si>
    <t>线元缓和曲线长度
lh
R3</t>
    <phoneticPr fontId="1" type="noConversion"/>
  </si>
  <si>
    <t>右线竖曲线要素</t>
    <phoneticPr fontId="1" type="noConversion"/>
  </si>
  <si>
    <t>右线平曲线要素</t>
    <phoneticPr fontId="1" type="noConversion"/>
  </si>
  <si>
    <t>里程点
L</t>
    <phoneticPr fontId="1" type="noConversion"/>
  </si>
  <si>
    <t>里程点坡度
i</t>
    <phoneticPr fontId="1" type="noConversion"/>
  </si>
  <si>
    <t>右线超高数据</t>
    <phoneticPr fontId="1" type="noConversion"/>
  </si>
  <si>
    <t>左线超高数据</t>
    <phoneticPr fontId="1" type="noConversion"/>
  </si>
  <si>
    <t>线元起点半径
r2</t>
    <phoneticPr fontId="1" type="noConversion"/>
  </si>
  <si>
    <t>反向缓和曲线</t>
    <phoneticPr fontId="1" type="noConversion"/>
  </si>
  <si>
    <t>长度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</si>
</sst>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YK&quot;0&quot;+&quot;000"/>
    <numFmt numFmtId="177" formatCode="0.000%"/>
    <numFmt numFmtId="178" formatCode="&quot;K&quot;0&quot;+&quot;000.000"/>
    <numFmt numFmtId="179" formatCode="0.0000"/>
    <numFmt numFmtId="180" formatCode="&quot;ZK&quot;0&quot;+&quot;000.000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4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8" fontId="0" fillId="0" borderId="0" xfId="0" applyNumberFormat="1" applyFill="1" applyAlignment="1">
      <alignment horizontal="center" vertical="center" wrapText="1"/>
    </xf>
    <xf numFmtId="179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23"/>
  <sheetViews>
    <sheetView workbookViewId="0">
      <selection activeCell="D27" sqref="D27"/>
    </sheetView>
  </sheetViews>
  <sheetFormatPr defaultColWidth="9" defaultRowHeight="14.4"/>
  <cols>
    <col min="1" max="1" width="11" style="3" bestFit="1" customWidth="1"/>
    <col min="2" max="2" width="11" style="1" bestFit="1" customWidth="1"/>
    <col min="3" max="3" width="15.109375" style="1" bestFit="1" customWidth="1"/>
    <col min="4" max="4" width="17.21875" style="1" bestFit="1" customWidth="1"/>
    <col min="5" max="5" width="13" style="8" bestFit="1" customWidth="1"/>
    <col min="6" max="6" width="9.5546875" style="1" bestFit="1" customWidth="1"/>
    <col min="7" max="16384" width="9" style="1"/>
  </cols>
  <sheetData>
    <row r="1" spans="1:6" ht="26.25" customHeight="1">
      <c r="A1" s="26" t="s">
        <v>17</v>
      </c>
      <c r="B1" s="26"/>
      <c r="C1" s="26"/>
      <c r="D1" s="26"/>
      <c r="E1" s="26"/>
    </row>
    <row r="2" spans="1:6" ht="32.25" customHeight="1">
      <c r="A2" s="4" t="s">
        <v>0</v>
      </c>
      <c r="B2" s="2" t="s">
        <v>1</v>
      </c>
      <c r="C2" s="2" t="s">
        <v>2</v>
      </c>
      <c r="D2" s="2" t="s">
        <v>3</v>
      </c>
      <c r="E2" s="7" t="s">
        <v>4</v>
      </c>
    </row>
    <row r="3" spans="1:6">
      <c r="A3" s="3">
        <v>71950</v>
      </c>
      <c r="B3" s="1">
        <v>62.564999999999998</v>
      </c>
      <c r="C3" s="1">
        <v>45000</v>
      </c>
      <c r="D3" s="1">
        <v>135.107</v>
      </c>
      <c r="E3" s="8">
        <v>3.0000000000000001E-3</v>
      </c>
    </row>
    <row r="4" spans="1:6">
      <c r="A4" s="3">
        <v>72420</v>
      </c>
      <c r="B4" s="1">
        <v>63.976999999999997</v>
      </c>
      <c r="C4" s="1">
        <v>-25000</v>
      </c>
      <c r="D4" s="1">
        <v>132.16</v>
      </c>
      <c r="E4" s="8">
        <v>-7.5700000000000003E-3</v>
      </c>
    </row>
    <row r="5" spans="1:6">
      <c r="A5" s="3">
        <v>72820</v>
      </c>
      <c r="B5" s="1">
        <v>60.95</v>
      </c>
      <c r="C5" s="1">
        <v>20000</v>
      </c>
      <c r="D5" s="1">
        <v>160.68100000000001</v>
      </c>
      <c r="E5" s="8">
        <v>8.5000000000000006E-3</v>
      </c>
    </row>
    <row r="6" spans="1:6">
      <c r="A6" s="3">
        <v>73300</v>
      </c>
      <c r="B6" s="1">
        <v>65.03</v>
      </c>
      <c r="C6" s="1">
        <v>-55000</v>
      </c>
      <c r="D6" s="1">
        <v>193.18799999999999</v>
      </c>
      <c r="E6" s="8">
        <v>1.47E-3</v>
      </c>
    </row>
    <row r="7" spans="1:6">
      <c r="A7" s="3">
        <v>73700</v>
      </c>
      <c r="B7" s="1">
        <v>65.62</v>
      </c>
      <c r="C7" s="1">
        <v>-83140.703999999998</v>
      </c>
      <c r="D7" s="1">
        <v>206.81200000000001</v>
      </c>
      <c r="E7" s="9">
        <v>-3.5000000000000001E-3</v>
      </c>
    </row>
    <row r="8" spans="1:6">
      <c r="A8" s="3">
        <v>74280</v>
      </c>
      <c r="B8" s="1">
        <v>63.59</v>
      </c>
      <c r="C8" s="1">
        <v>30000</v>
      </c>
      <c r="D8" s="1">
        <v>134.68899999999999</v>
      </c>
      <c r="E8" s="9">
        <v>5.4799999999999996E-3</v>
      </c>
    </row>
    <row r="9" spans="1:6">
      <c r="A9" s="3">
        <v>74810</v>
      </c>
      <c r="B9" s="1">
        <v>66.494</v>
      </c>
      <c r="C9" s="1">
        <v>-30000</v>
      </c>
      <c r="D9" s="1">
        <v>172.18899999999999</v>
      </c>
      <c r="E9" s="9">
        <v>-6.0000000000000001E-3</v>
      </c>
    </row>
    <row r="10" spans="1:6">
      <c r="A10" s="3">
        <v>75300</v>
      </c>
      <c r="B10" s="1">
        <v>63.554000000000002</v>
      </c>
      <c r="C10" s="1">
        <v>30000</v>
      </c>
      <c r="D10" s="1">
        <v>135</v>
      </c>
      <c r="E10" s="9">
        <v>3.0000000000000001E-3</v>
      </c>
    </row>
    <row r="11" spans="1:6">
      <c r="A11" s="3">
        <v>75760</v>
      </c>
      <c r="B11" s="1">
        <v>64.933999999999997</v>
      </c>
      <c r="C11" s="1">
        <v>-45000</v>
      </c>
      <c r="D11" s="5">
        <v>180</v>
      </c>
      <c r="E11" s="8">
        <v>-5.0000000000000001E-3</v>
      </c>
    </row>
    <row r="12" spans="1:6">
      <c r="A12" s="3">
        <v>76200</v>
      </c>
      <c r="B12" s="1">
        <v>62.734000000000002</v>
      </c>
      <c r="C12" s="1">
        <v>30000</v>
      </c>
      <c r="D12" s="5">
        <v>142.5</v>
      </c>
      <c r="E12" s="8">
        <v>4.4999999999999997E-3</v>
      </c>
    </row>
    <row r="13" spans="1:6">
      <c r="A13" s="3">
        <v>76830</v>
      </c>
      <c r="B13" s="1">
        <v>65.569000000000003</v>
      </c>
      <c r="C13" s="1">
        <v>18905.882000000001</v>
      </c>
      <c r="D13" s="5">
        <v>160.69999999999999</v>
      </c>
      <c r="E13" s="8">
        <v>2.1499999999999998E-2</v>
      </c>
    </row>
    <row r="14" spans="1:6">
      <c r="A14" s="3">
        <v>77380</v>
      </c>
      <c r="B14" s="1">
        <v>77.394000000000005</v>
      </c>
      <c r="C14" s="1">
        <v>-17000</v>
      </c>
      <c r="D14" s="5">
        <v>389.3</v>
      </c>
      <c r="E14" s="8">
        <v>-2.4299999999999999E-2</v>
      </c>
    </row>
    <row r="15" spans="1:6">
      <c r="A15" s="3">
        <v>77930</v>
      </c>
      <c r="B15" s="1">
        <v>64.028999999999996</v>
      </c>
      <c r="C15" s="1">
        <v>12248.335999999999</v>
      </c>
      <c r="D15" s="5">
        <v>160.69999999999999</v>
      </c>
      <c r="E15" s="8">
        <v>1.9400000000000001E-3</v>
      </c>
    </row>
    <row r="16" spans="1:6">
      <c r="A16" s="3">
        <v>78600</v>
      </c>
      <c r="B16" s="1">
        <v>65.328999999999994</v>
      </c>
      <c r="C16" s="1">
        <v>-30000</v>
      </c>
      <c r="D16" s="5">
        <v>314.10399999999998</v>
      </c>
      <c r="E16" s="8">
        <v>-1.9E-2</v>
      </c>
      <c r="F16" s="3"/>
    </row>
    <row r="17" spans="1:6">
      <c r="A17" s="3">
        <v>79250</v>
      </c>
      <c r="B17" s="1">
        <v>52.978999999999999</v>
      </c>
      <c r="C17" s="1">
        <v>14000</v>
      </c>
      <c r="D17" s="5">
        <v>211.86799999999999</v>
      </c>
      <c r="E17" s="8">
        <v>1.1270000000000001E-2</v>
      </c>
    </row>
    <row r="18" spans="1:6" s="6" customFormat="1">
      <c r="A18" s="3">
        <v>79650</v>
      </c>
      <c r="B18" s="6">
        <v>57.484999999999999</v>
      </c>
      <c r="C18" s="6">
        <v>-33395.766000000003</v>
      </c>
      <c r="D18" s="6">
        <v>188.09569999999999</v>
      </c>
      <c r="E18" s="8">
        <v>0</v>
      </c>
      <c r="F18" s="3"/>
    </row>
    <row r="19" spans="1:6">
      <c r="A19" s="3">
        <v>80170</v>
      </c>
      <c r="B19" s="1">
        <v>57.484999999999999</v>
      </c>
      <c r="C19" s="1">
        <v>85000</v>
      </c>
      <c r="D19" s="5">
        <v>132.56</v>
      </c>
      <c r="E19" s="8">
        <v>3.1199999999999999E-3</v>
      </c>
    </row>
    <row r="20" spans="1:6">
      <c r="A20" s="3">
        <v>80590</v>
      </c>
      <c r="B20" s="1">
        <v>58.795000000000002</v>
      </c>
      <c r="C20" s="1">
        <v>-25000</v>
      </c>
      <c r="D20" s="5">
        <v>132.02500000000001</v>
      </c>
      <c r="E20" s="8">
        <v>-7.4400000000000004E-3</v>
      </c>
    </row>
    <row r="21" spans="1:6">
      <c r="A21" s="3">
        <v>81000</v>
      </c>
      <c r="B21" s="1">
        <v>55.744</v>
      </c>
      <c r="C21" s="1">
        <v>18000</v>
      </c>
      <c r="D21" s="5">
        <v>138.98599999999999</v>
      </c>
      <c r="E21" s="8">
        <v>8.0000000000000002E-3</v>
      </c>
    </row>
    <row r="22" spans="1:6">
      <c r="A22" s="3">
        <v>81450</v>
      </c>
      <c r="B22" s="1">
        <v>59.344000000000001</v>
      </c>
      <c r="C22" s="1">
        <v>-17000</v>
      </c>
      <c r="D22" s="5">
        <v>127.5</v>
      </c>
      <c r="E22" s="8">
        <v>-7.0000000000000001E-3</v>
      </c>
    </row>
    <row r="23" spans="1:6">
      <c r="A23" s="3">
        <v>81920</v>
      </c>
      <c r="B23" s="1">
        <v>56.054000000000002</v>
      </c>
      <c r="C23" s="1">
        <v>18000</v>
      </c>
      <c r="D23" s="1">
        <v>135</v>
      </c>
      <c r="E23" s="8">
        <v>8.0000000000000002E-3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H98"/>
  <sheetViews>
    <sheetView workbookViewId="0">
      <selection activeCell="I17" sqref="I17"/>
    </sheetView>
  </sheetViews>
  <sheetFormatPr defaultColWidth="9" defaultRowHeight="14.4"/>
  <cols>
    <col min="1" max="1" width="13.88671875" style="24" bestFit="1" customWidth="1"/>
    <col min="2" max="2" width="11" style="6" bestFit="1" customWidth="1"/>
    <col min="3" max="6" width="9" style="6"/>
    <col min="7" max="7" width="10.5546875" style="6" bestFit="1" customWidth="1"/>
    <col min="8" max="10" width="9" style="6"/>
    <col min="11" max="11" width="36.88671875" style="6" bestFit="1" customWidth="1"/>
    <col min="12" max="16384" width="9" style="6"/>
  </cols>
  <sheetData>
    <row r="1" spans="1:8" ht="19.2">
      <c r="A1" s="26" t="s">
        <v>22</v>
      </c>
      <c r="B1" s="26"/>
    </row>
    <row r="2" spans="1:8" ht="31.5" customHeight="1">
      <c r="A2" s="23" t="s">
        <v>19</v>
      </c>
      <c r="B2" s="2" t="s">
        <v>20</v>
      </c>
    </row>
    <row r="3" spans="1:8">
      <c r="A3" s="24">
        <v>72250</v>
      </c>
      <c r="B3" s="6">
        <v>0.02</v>
      </c>
    </row>
    <row r="4" spans="1:8">
      <c r="A4" s="24">
        <v>75401.691999999995</v>
      </c>
      <c r="B4" s="6">
        <v>0.02</v>
      </c>
    </row>
    <row r="5" spans="1:8">
      <c r="A5" s="24">
        <v>75521.691999999995</v>
      </c>
      <c r="B5" s="6">
        <v>-0.02</v>
      </c>
      <c r="H5" s="25"/>
    </row>
    <row r="6" spans="1:8">
      <c r="A6" s="24">
        <v>77754.702999999994</v>
      </c>
      <c r="B6" s="6">
        <v>-0.02</v>
      </c>
      <c r="G6" s="25"/>
      <c r="H6" s="25"/>
    </row>
    <row r="7" spans="1:8">
      <c r="A7" s="24">
        <v>77874.702999999994</v>
      </c>
      <c r="B7" s="6">
        <v>0.02</v>
      </c>
      <c r="G7" s="25"/>
      <c r="H7" s="25"/>
    </row>
    <row r="8" spans="1:8">
      <c r="A8" s="24">
        <v>81700</v>
      </c>
      <c r="B8" s="6">
        <v>0.02</v>
      </c>
      <c r="G8" s="25"/>
      <c r="H8" s="25"/>
    </row>
    <row r="9" spans="1:8">
      <c r="G9" s="25"/>
      <c r="H9" s="25"/>
    </row>
    <row r="10" spans="1:8">
      <c r="G10" s="25"/>
      <c r="H10" s="25"/>
    </row>
    <row r="11" spans="1:8">
      <c r="G11" s="25"/>
      <c r="H11" s="25"/>
    </row>
    <row r="12" spans="1:8">
      <c r="G12" s="25"/>
      <c r="H12" s="25"/>
    </row>
    <row r="13" spans="1:8">
      <c r="G13" s="25"/>
      <c r="H13" s="25"/>
    </row>
    <row r="14" spans="1:8">
      <c r="G14" s="25"/>
      <c r="H14" s="25"/>
    </row>
    <row r="15" spans="1:8">
      <c r="G15" s="25"/>
      <c r="H15" s="25"/>
    </row>
    <row r="16" spans="1:8">
      <c r="G16" s="25"/>
      <c r="H16" s="25"/>
    </row>
    <row r="17" spans="7:8">
      <c r="G17" s="25"/>
      <c r="H17" s="25"/>
    </row>
    <row r="18" spans="7:8">
      <c r="G18" s="25"/>
      <c r="H18" s="25"/>
    </row>
    <row r="19" spans="7:8">
      <c r="G19" s="25"/>
      <c r="H19" s="25"/>
    </row>
    <row r="20" spans="7:8">
      <c r="G20" s="25"/>
      <c r="H20" s="25"/>
    </row>
    <row r="21" spans="7:8">
      <c r="G21" s="25"/>
      <c r="H21" s="25"/>
    </row>
    <row r="22" spans="7:8">
      <c r="G22" s="25"/>
      <c r="H22" s="25"/>
    </row>
    <row r="23" spans="7:8">
      <c r="G23" s="25"/>
      <c r="H23" s="25"/>
    </row>
    <row r="24" spans="7:8">
      <c r="G24" s="25"/>
      <c r="H24" s="25"/>
    </row>
    <row r="25" spans="7:8">
      <c r="G25" s="25"/>
      <c r="H25" s="25"/>
    </row>
    <row r="26" spans="7:8">
      <c r="G26" s="25"/>
      <c r="H26" s="25"/>
    </row>
    <row r="27" spans="7:8">
      <c r="G27" s="25"/>
      <c r="H27" s="25"/>
    </row>
    <row r="28" spans="7:8">
      <c r="G28" s="25"/>
      <c r="H28" s="25"/>
    </row>
    <row r="29" spans="7:8">
      <c r="G29" s="25"/>
      <c r="H29" s="25"/>
    </row>
    <row r="30" spans="7:8">
      <c r="G30" s="25"/>
      <c r="H30" s="25"/>
    </row>
    <row r="31" spans="7:8">
      <c r="G31" s="25"/>
      <c r="H31" s="25"/>
    </row>
    <row r="32" spans="7:8">
      <c r="G32" s="25"/>
      <c r="H32" s="25"/>
    </row>
    <row r="33" spans="7:8">
      <c r="G33" s="25"/>
      <c r="H33" s="25"/>
    </row>
    <row r="34" spans="7:8">
      <c r="G34" s="25"/>
      <c r="H34" s="25"/>
    </row>
    <row r="35" spans="7:8">
      <c r="G35" s="25"/>
      <c r="H35" s="25"/>
    </row>
    <row r="36" spans="7:8">
      <c r="G36" s="25"/>
      <c r="H36" s="25"/>
    </row>
    <row r="37" spans="7:8">
      <c r="G37" s="25"/>
      <c r="H37" s="25"/>
    </row>
    <row r="38" spans="7:8">
      <c r="G38" s="25"/>
      <c r="H38" s="25"/>
    </row>
    <row r="39" spans="7:8">
      <c r="G39" s="25"/>
      <c r="H39" s="25"/>
    </row>
    <row r="40" spans="7:8">
      <c r="G40" s="25"/>
      <c r="H40" s="25"/>
    </row>
    <row r="41" spans="7:8">
      <c r="G41" s="25"/>
      <c r="H41" s="25"/>
    </row>
    <row r="42" spans="7:8">
      <c r="G42" s="25"/>
      <c r="H42" s="25"/>
    </row>
    <row r="43" spans="7:8">
      <c r="G43" s="25"/>
      <c r="H43" s="25"/>
    </row>
    <row r="44" spans="7:8">
      <c r="G44" s="25"/>
      <c r="H44" s="25"/>
    </row>
    <row r="45" spans="7:8">
      <c r="G45" s="25"/>
      <c r="H45" s="25"/>
    </row>
    <row r="46" spans="7:8">
      <c r="G46" s="25"/>
      <c r="H46" s="25"/>
    </row>
    <row r="47" spans="7:8">
      <c r="G47" s="25"/>
      <c r="H47" s="25"/>
    </row>
    <row r="48" spans="7:8">
      <c r="G48" s="25"/>
      <c r="H48" s="25"/>
    </row>
    <row r="49" spans="7:8">
      <c r="G49" s="25"/>
      <c r="H49" s="25"/>
    </row>
    <row r="50" spans="7:8">
      <c r="G50" s="25"/>
      <c r="H50" s="25"/>
    </row>
    <row r="51" spans="7:8">
      <c r="G51" s="25"/>
      <c r="H51" s="25"/>
    </row>
    <row r="52" spans="7:8">
      <c r="G52" s="25"/>
      <c r="H52" s="25"/>
    </row>
    <row r="53" spans="7:8">
      <c r="G53" s="25"/>
      <c r="H53" s="25"/>
    </row>
    <row r="54" spans="7:8">
      <c r="G54" s="25"/>
      <c r="H54" s="25"/>
    </row>
    <row r="55" spans="7:8">
      <c r="G55" s="25"/>
      <c r="H55" s="25"/>
    </row>
    <row r="56" spans="7:8">
      <c r="G56" s="25"/>
      <c r="H56" s="25"/>
    </row>
    <row r="57" spans="7:8">
      <c r="G57" s="25"/>
      <c r="H57" s="25"/>
    </row>
    <row r="58" spans="7:8">
      <c r="G58" s="25"/>
      <c r="H58" s="25"/>
    </row>
    <row r="59" spans="7:8">
      <c r="G59" s="25"/>
      <c r="H59" s="25"/>
    </row>
    <row r="60" spans="7:8">
      <c r="G60" s="25"/>
      <c r="H60" s="25"/>
    </row>
    <row r="61" spans="7:8">
      <c r="G61" s="25"/>
      <c r="H61" s="25"/>
    </row>
    <row r="62" spans="7:8">
      <c r="G62" s="25"/>
      <c r="H62" s="25"/>
    </row>
    <row r="63" spans="7:8">
      <c r="G63" s="25"/>
      <c r="H63" s="25"/>
    </row>
    <row r="64" spans="7:8">
      <c r="G64" s="25"/>
      <c r="H64" s="25"/>
    </row>
    <row r="65" spans="7:8">
      <c r="G65" s="25"/>
      <c r="H65" s="25"/>
    </row>
    <row r="66" spans="7:8">
      <c r="G66" s="25"/>
      <c r="H66" s="25"/>
    </row>
    <row r="67" spans="7:8">
      <c r="G67" s="25"/>
      <c r="H67" s="25"/>
    </row>
    <row r="68" spans="7:8">
      <c r="G68" s="25"/>
      <c r="H68" s="25"/>
    </row>
    <row r="69" spans="7:8">
      <c r="G69" s="25"/>
      <c r="H69" s="25"/>
    </row>
    <row r="70" spans="7:8">
      <c r="G70" s="25"/>
      <c r="H70" s="25"/>
    </row>
    <row r="71" spans="7:8">
      <c r="G71" s="25"/>
      <c r="H71" s="25"/>
    </row>
    <row r="72" spans="7:8">
      <c r="G72" s="25"/>
      <c r="H72" s="25"/>
    </row>
    <row r="73" spans="7:8">
      <c r="G73" s="25"/>
      <c r="H73" s="25"/>
    </row>
    <row r="74" spans="7:8">
      <c r="G74" s="25"/>
      <c r="H74" s="25"/>
    </row>
    <row r="75" spans="7:8">
      <c r="G75" s="25"/>
      <c r="H75" s="25"/>
    </row>
    <row r="76" spans="7:8">
      <c r="G76" s="25"/>
      <c r="H76" s="25"/>
    </row>
    <row r="77" spans="7:8">
      <c r="G77" s="25"/>
      <c r="H77" s="25"/>
    </row>
    <row r="78" spans="7:8">
      <c r="G78" s="25"/>
      <c r="H78" s="25"/>
    </row>
    <row r="79" spans="7:8">
      <c r="G79" s="25"/>
      <c r="H79" s="25"/>
    </row>
    <row r="80" spans="7:8">
      <c r="G80" s="25"/>
      <c r="H80" s="25"/>
    </row>
    <row r="81" spans="1:8">
      <c r="G81" s="25"/>
      <c r="H81" s="25"/>
    </row>
    <row r="82" spans="1:8">
      <c r="G82" s="25"/>
      <c r="H82" s="25"/>
    </row>
    <row r="83" spans="1:8">
      <c r="G83" s="25"/>
      <c r="H83" s="25"/>
    </row>
    <row r="84" spans="1:8">
      <c r="G84" s="25"/>
      <c r="H84" s="25"/>
    </row>
    <row r="85" spans="1:8">
      <c r="G85" s="25"/>
      <c r="H85" s="25"/>
    </row>
    <row r="86" spans="1:8">
      <c r="G86" s="25"/>
      <c r="H86" s="25"/>
    </row>
    <row r="87" spans="1:8">
      <c r="G87" s="25"/>
      <c r="H87" s="25"/>
    </row>
    <row r="88" spans="1:8">
      <c r="G88" s="25"/>
      <c r="H88" s="25"/>
    </row>
    <row r="89" spans="1:8">
      <c r="G89" s="25"/>
      <c r="H89" s="25"/>
    </row>
    <row r="90" spans="1:8">
      <c r="G90" s="25"/>
      <c r="H90" s="25"/>
    </row>
    <row r="91" spans="1:8">
      <c r="G91" s="25"/>
      <c r="H91" s="25"/>
    </row>
    <row r="92" spans="1:8">
      <c r="G92" s="25"/>
      <c r="H92" s="25"/>
    </row>
    <row r="93" spans="1:8">
      <c r="G93" s="25"/>
      <c r="H93" s="25"/>
    </row>
    <row r="94" spans="1:8">
      <c r="G94" s="25"/>
      <c r="H94" s="25"/>
    </row>
    <row r="95" spans="1:8">
      <c r="G95" s="25"/>
      <c r="H95" s="25"/>
    </row>
    <row r="96" spans="1:8" s="25" customFormat="1">
      <c r="A96" s="24"/>
    </row>
    <row r="97" spans="7:8">
      <c r="G97" s="25"/>
      <c r="H97" s="25"/>
    </row>
    <row r="98" spans="7:8">
      <c r="G98" s="25"/>
      <c r="H98" s="25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4"/>
  <sheetViews>
    <sheetView workbookViewId="0">
      <selection activeCell="C6" sqref="C6"/>
    </sheetView>
  </sheetViews>
  <sheetFormatPr defaultColWidth="9" defaultRowHeight="14.4"/>
  <cols>
    <col min="1" max="1" width="9.5546875" style="3" bestFit="1" customWidth="1"/>
    <col min="2" max="2" width="11" style="1" bestFit="1" customWidth="1"/>
    <col min="3" max="16384" width="9" style="1"/>
  </cols>
  <sheetData>
    <row r="1" spans="1:2" ht="19.2">
      <c r="A1" s="26" t="s">
        <v>21</v>
      </c>
      <c r="B1" s="26"/>
    </row>
    <row r="2" spans="1:2" ht="31.5" customHeight="1">
      <c r="A2" s="4" t="s">
        <v>19</v>
      </c>
      <c r="B2" s="2" t="s">
        <v>20</v>
      </c>
    </row>
    <row r="3" spans="1:2">
      <c r="A3" s="3">
        <v>72250</v>
      </c>
      <c r="B3" s="1">
        <v>-0.02</v>
      </c>
    </row>
    <row r="4" spans="1:2">
      <c r="A4" s="3">
        <v>81700</v>
      </c>
      <c r="B4" s="1">
        <v>-0.02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K13"/>
  <sheetViews>
    <sheetView workbookViewId="0">
      <selection activeCell="E4" sqref="E4"/>
    </sheetView>
  </sheetViews>
  <sheetFormatPr defaultColWidth="9" defaultRowHeight="14.4"/>
  <cols>
    <col min="1" max="1" width="13.88671875" style="11" bestFit="1" customWidth="1"/>
    <col min="2" max="2" width="14" style="13" bestFit="1" customWidth="1"/>
    <col min="3" max="3" width="13.88671875" style="13" bestFit="1" customWidth="1"/>
    <col min="4" max="7" width="15.109375" style="1" bestFit="1" customWidth="1"/>
    <col min="8" max="8" width="13" style="1" bestFit="1" customWidth="1"/>
    <col min="9" max="9" width="17.21875" style="1" bestFit="1" customWidth="1"/>
    <col min="10" max="10" width="13" style="1" bestFit="1" customWidth="1"/>
    <col min="11" max="11" width="11.6640625" style="14" bestFit="1" customWidth="1"/>
    <col min="12" max="16384" width="9" style="1"/>
  </cols>
  <sheetData>
    <row r="1" spans="1:11" ht="23.25" customHeight="1">
      <c r="A1" s="26" t="s">
        <v>18</v>
      </c>
      <c r="B1" s="26"/>
      <c r="C1" s="26"/>
      <c r="D1" s="26"/>
      <c r="E1" s="26"/>
      <c r="F1" s="26"/>
      <c r="G1" s="26"/>
      <c r="H1" s="26"/>
      <c r="I1" s="26"/>
      <c r="J1" s="26"/>
    </row>
    <row r="2" spans="1:11" ht="28.5" customHeight="1">
      <c r="A2" s="10" t="s">
        <v>8</v>
      </c>
      <c r="B2" s="12" t="s">
        <v>9</v>
      </c>
      <c r="C2" s="12" t="s">
        <v>10</v>
      </c>
      <c r="D2" s="2" t="s">
        <v>12</v>
      </c>
      <c r="E2" s="2" t="s">
        <v>13</v>
      </c>
      <c r="F2" s="2" t="s">
        <v>14</v>
      </c>
      <c r="G2" s="2" t="s">
        <v>15</v>
      </c>
      <c r="H2" s="2" t="s">
        <v>23</v>
      </c>
      <c r="I2" s="2" t="s">
        <v>16</v>
      </c>
      <c r="J2" s="1" t="s">
        <v>11</v>
      </c>
      <c r="K2" s="14" t="s">
        <v>25</v>
      </c>
    </row>
    <row r="3" spans="1:11" s="19" customFormat="1" ht="14.4" customHeight="1">
      <c r="A3" s="15">
        <v>69005.495999999999</v>
      </c>
      <c r="B3" s="16">
        <v>3779231.62</v>
      </c>
      <c r="C3" s="16">
        <v>523516.364</v>
      </c>
      <c r="D3" s="17">
        <v>169</v>
      </c>
      <c r="E3" s="17">
        <v>45</v>
      </c>
      <c r="F3" s="17">
        <v>38</v>
      </c>
      <c r="G3" s="18">
        <v>-4500</v>
      </c>
      <c r="H3" s="18">
        <v>-4500</v>
      </c>
      <c r="I3" s="19" t="b">
        <v>0</v>
      </c>
      <c r="J3" s="19" t="s">
        <v>7</v>
      </c>
      <c r="K3" s="20">
        <f>A4-A3</f>
        <v>3026.3050000000076</v>
      </c>
    </row>
    <row r="4" spans="1:11" s="19" customFormat="1">
      <c r="A4" s="21">
        <v>72031.801000000007</v>
      </c>
      <c r="B4" s="16">
        <v>3776647.156</v>
      </c>
      <c r="C4" s="16">
        <v>524978.91200000001</v>
      </c>
      <c r="D4" s="20">
        <v>131</v>
      </c>
      <c r="E4" s="20">
        <v>13</v>
      </c>
      <c r="F4" s="20">
        <v>42</v>
      </c>
      <c r="G4" s="19">
        <v>-4500</v>
      </c>
      <c r="H4" s="19">
        <v>0</v>
      </c>
      <c r="I4" s="19">
        <v>350</v>
      </c>
      <c r="J4" s="19" t="s">
        <v>24</v>
      </c>
      <c r="K4" s="20">
        <f t="shared" ref="K4:K11" si="0">A5-A4</f>
        <v>350</v>
      </c>
    </row>
    <row r="5" spans="1:11" s="19" customFormat="1">
      <c r="A5" s="21">
        <v>72381.801000000007</v>
      </c>
      <c r="B5" s="16">
        <v>3776423.4</v>
      </c>
      <c r="C5" s="16">
        <v>525248.01599999995</v>
      </c>
      <c r="D5" s="20">
        <v>129</v>
      </c>
      <c r="E5" s="20">
        <v>0</v>
      </c>
      <c r="F5" s="20">
        <v>0.90800000000000003</v>
      </c>
      <c r="G5" s="19">
        <v>0</v>
      </c>
      <c r="H5" s="19">
        <v>0</v>
      </c>
      <c r="I5" s="19" t="b">
        <v>0</v>
      </c>
      <c r="J5" s="19" t="s">
        <v>5</v>
      </c>
      <c r="K5" s="20">
        <f t="shared" si="0"/>
        <v>2789.8909999999887</v>
      </c>
    </row>
    <row r="6" spans="1:11" s="19" customFormat="1">
      <c r="A6" s="21">
        <v>75171.691999999995</v>
      </c>
      <c r="B6" s="16">
        <v>3774667.6549999998</v>
      </c>
      <c r="C6" s="16">
        <v>527416.16099999996</v>
      </c>
      <c r="D6" s="20">
        <v>129</v>
      </c>
      <c r="E6" s="20">
        <v>0</v>
      </c>
      <c r="F6" s="20">
        <v>0.90800000000000003</v>
      </c>
      <c r="G6" s="19">
        <v>0</v>
      </c>
      <c r="H6" s="19">
        <v>3000</v>
      </c>
      <c r="I6" s="19">
        <v>350</v>
      </c>
      <c r="J6" s="19" t="s">
        <v>6</v>
      </c>
      <c r="K6" s="20">
        <f t="shared" si="0"/>
        <v>350</v>
      </c>
    </row>
    <row r="7" spans="1:11" s="19" customFormat="1">
      <c r="A7" s="21">
        <v>75521.691999999995</v>
      </c>
      <c r="B7" s="16">
        <v>3774442.179</v>
      </c>
      <c r="C7" s="16">
        <v>527683.78700000001</v>
      </c>
      <c r="D7" s="20">
        <v>132</v>
      </c>
      <c r="E7" s="20">
        <v>20</v>
      </c>
      <c r="F7" s="20">
        <v>33.021000000000001</v>
      </c>
      <c r="G7" s="19">
        <v>3000</v>
      </c>
      <c r="H7" s="19">
        <v>3000</v>
      </c>
      <c r="I7" s="19" t="b">
        <v>0</v>
      </c>
      <c r="J7" s="19" t="s">
        <v>7</v>
      </c>
      <c r="K7" s="20">
        <f t="shared" si="0"/>
        <v>2233.0109999999986</v>
      </c>
    </row>
    <row r="8" spans="1:11" s="19" customFormat="1">
      <c r="A8" s="21">
        <v>77754.702999999994</v>
      </c>
      <c r="B8" s="16">
        <v>3772486.7790000001</v>
      </c>
      <c r="C8" s="16">
        <v>528651.64099999995</v>
      </c>
      <c r="D8" s="20">
        <v>174</v>
      </c>
      <c r="E8" s="20">
        <v>59</v>
      </c>
      <c r="F8" s="20">
        <v>23.556000000000001</v>
      </c>
      <c r="G8" s="19">
        <v>3000</v>
      </c>
      <c r="H8" s="19">
        <v>0</v>
      </c>
      <c r="I8" s="19">
        <v>350</v>
      </c>
      <c r="J8" s="19" t="s">
        <v>24</v>
      </c>
      <c r="K8" s="20">
        <f t="shared" si="0"/>
        <v>350</v>
      </c>
    </row>
    <row r="9" spans="1:11" s="19" customFormat="1">
      <c r="A9" s="21">
        <v>78104.702999999994</v>
      </c>
      <c r="B9" s="16">
        <v>3772137.2450000001</v>
      </c>
      <c r="C9" s="16">
        <v>528668.625</v>
      </c>
      <c r="D9" s="20">
        <v>178</v>
      </c>
      <c r="E9" s="20">
        <v>19</v>
      </c>
      <c r="F9" s="20">
        <v>55.676000000000002</v>
      </c>
      <c r="G9" s="19">
        <v>0</v>
      </c>
      <c r="H9" s="19">
        <v>0</v>
      </c>
      <c r="I9" s="19" t="b">
        <v>0</v>
      </c>
      <c r="J9" s="19" t="s">
        <v>5</v>
      </c>
      <c r="K9" s="20">
        <f t="shared" si="0"/>
        <v>1987.2760000000126</v>
      </c>
    </row>
    <row r="10" spans="1:11" s="19" customFormat="1">
      <c r="A10" s="21">
        <v>80091.979000000007</v>
      </c>
      <c r="B10" s="16">
        <v>3770150.8110000002</v>
      </c>
      <c r="C10" s="16">
        <v>528726.46600000001</v>
      </c>
      <c r="D10" s="20">
        <v>178</v>
      </c>
      <c r="E10" s="20">
        <v>19</v>
      </c>
      <c r="F10" s="20">
        <v>55.676000000000002</v>
      </c>
      <c r="G10" s="19">
        <v>-5500</v>
      </c>
      <c r="H10" s="19">
        <v>-5500</v>
      </c>
      <c r="I10" s="19" t="b">
        <v>0</v>
      </c>
      <c r="J10" s="19" t="s">
        <v>7</v>
      </c>
      <c r="K10" s="20">
        <f t="shared" si="0"/>
        <v>1516.4459999999963</v>
      </c>
    </row>
    <row r="11" spans="1:11" s="19" customFormat="1">
      <c r="A11" s="21">
        <v>81608.425000000003</v>
      </c>
      <c r="B11" s="16">
        <v>3768660.1860000002</v>
      </c>
      <c r="C11" s="16">
        <v>528977.69299999997</v>
      </c>
      <c r="D11" s="20">
        <v>162</v>
      </c>
      <c r="E11" s="20">
        <v>32</v>
      </c>
      <c r="F11" s="20">
        <v>4.7610000000000001</v>
      </c>
      <c r="G11" s="19">
        <v>0</v>
      </c>
      <c r="H11" s="19">
        <v>0</v>
      </c>
      <c r="I11" s="19" t="b">
        <v>0</v>
      </c>
      <c r="J11" s="19" t="s">
        <v>5</v>
      </c>
      <c r="K11" s="20">
        <f t="shared" si="0"/>
        <v>1044.2510000000038</v>
      </c>
    </row>
    <row r="12" spans="1:11" s="19" customFormat="1">
      <c r="A12" s="21">
        <v>82652.676000000007</v>
      </c>
      <c r="B12" s="16">
        <v>3767664.0759999999</v>
      </c>
      <c r="C12" s="16">
        <v>529291.103</v>
      </c>
      <c r="D12" s="20">
        <v>162</v>
      </c>
      <c r="E12" s="20">
        <v>32</v>
      </c>
      <c r="F12" s="20">
        <v>4.7610000000000001</v>
      </c>
      <c r="G12" s="19">
        <v>5500</v>
      </c>
      <c r="H12" s="19">
        <v>5500</v>
      </c>
      <c r="I12" s="19" t="b">
        <v>0</v>
      </c>
      <c r="J12" s="19" t="s">
        <v>7</v>
      </c>
      <c r="K12" s="20"/>
    </row>
    <row r="13" spans="1:11" s="19" customFormat="1">
      <c r="A13" s="21"/>
      <c r="B13" s="22"/>
      <c r="C13" s="22"/>
      <c r="K13" s="20"/>
    </row>
  </sheetData>
  <mergeCells count="1">
    <mergeCell ref="A1:J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E8" sqref="E8"/>
    </sheetView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YH</vt:lpstr>
      <vt:lpstr>ZHCG</vt:lpstr>
      <vt:lpstr>YHCG</vt:lpstr>
      <vt:lpstr>YXY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2014-02-16T09:33:04Z</dcterms:modified>
</cp:coreProperties>
</file>